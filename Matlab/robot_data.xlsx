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Github\RM26_WBR\Matlab\"/>
    </mc:Choice>
  </mc:AlternateContent>
  <xr:revisionPtr revIDLastSave="0" documentId="13_ncr:1_{3DA95D12-3005-4418-A0DD-F455A4FB92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2" i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O9" i="1" s="1"/>
  <c r="K10" i="1"/>
  <c r="L10" i="1"/>
  <c r="O10" i="1" s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O19" i="1" s="1"/>
  <c r="K20" i="1"/>
  <c r="L20" i="1"/>
  <c r="K21" i="1"/>
  <c r="L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O2" i="1" l="1"/>
  <c r="O18" i="1"/>
  <c r="O4" i="1"/>
  <c r="O12" i="1"/>
  <c r="O3" i="1"/>
  <c r="O17" i="1"/>
  <c r="O16" i="1"/>
  <c r="O15" i="1"/>
  <c r="O21" i="1"/>
  <c r="O20" i="1"/>
  <c r="O14" i="1"/>
  <c r="O13" i="1"/>
  <c r="O11" i="1"/>
  <c r="O8" i="1"/>
  <c r="O7" i="1"/>
  <c r="O6" i="1"/>
  <c r="O5" i="1"/>
</calcChain>
</file>

<file path=xl/sharedStrings.xml><?xml version="1.0" encoding="utf-8"?>
<sst xmlns="http://schemas.openxmlformats.org/spreadsheetml/2006/main" count="12" uniqueCount="7">
  <si>
    <t>x</t>
    <phoneticPr fontId="1" type="noConversion"/>
  </si>
  <si>
    <t>L_w</t>
    <phoneticPr fontId="1" type="noConversion"/>
  </si>
  <si>
    <t>L_b</t>
    <phoneticPr fontId="1" type="noConversion"/>
  </si>
  <si>
    <t>I_l</t>
    <phoneticPr fontId="1" type="noConversion"/>
  </si>
  <si>
    <t>leg</t>
    <phoneticPr fontId="1" type="noConversion"/>
  </si>
  <si>
    <t>国际单位制</t>
    <phoneticPr fontId="1" type="noConversion"/>
  </si>
  <si>
    <t>dis_theta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</si>
</sst>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O2" sqref="O2"/>
    </sheetView>
  </sheetViews>
  <sheetFormatPr defaultColWidth="9" defaultRowHeight="14" x14ac:dyDescent="0.25"/>
  <cols>
    <col min="2" max="2" width="10.54296875"/>
    <col min="3" max="3" width="9.54296875"/>
    <col min="4" max="4" width="10.54296875"/>
    <col min="5" max="5" width="9.36328125"/>
    <col min="6" max="7" width="10.54296875"/>
    <col min="9" max="9" width="11.36328125" bestFit="1" customWidth="1"/>
    <col min="12" max="14" width="10.54296875"/>
    <col min="15" max="15" width="10.26953125" bestFit="1" customWidth="1"/>
  </cols>
  <sheetData>
    <row r="1" spans="1:15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I1" s="1" t="s">
        <v>5</v>
      </c>
      <c r="J1" s="1" t="s">
        <v>2</v>
      </c>
      <c r="K1" s="1" t="s">
        <v>1</v>
      </c>
      <c r="L1" s="1" t="s">
        <v>0</v>
      </c>
      <c r="M1" s="1" t="s">
        <v>3</v>
      </c>
      <c r="N1" s="1" t="s">
        <v>4</v>
      </c>
      <c r="O1" s="1" t="s">
        <v>6</v>
      </c>
    </row>
    <row r="2" spans="1:15" x14ac:dyDescent="0.25">
      <c r="A2">
        <v>38.61</v>
      </c>
      <c r="B2">
        <v>123.14</v>
      </c>
      <c r="C2">
        <v>109.72</v>
      </c>
      <c r="D2">
        <v>21205.072</v>
      </c>
      <c r="E2">
        <v>161.75</v>
      </c>
      <c r="J2">
        <f>A2/1000</f>
        <v>3.8609999999999998E-2</v>
      </c>
      <c r="K2">
        <f>B2/1000</f>
        <v>0.12314</v>
      </c>
      <c r="L2">
        <f>C2/1000</f>
        <v>0.10972</v>
      </c>
      <c r="M2">
        <f>D2/1000000</f>
        <v>2.1205071999999998E-2</v>
      </c>
      <c r="N2">
        <f>E2/1000</f>
        <v>0.16175</v>
      </c>
      <c r="O2">
        <f>ATAN(L2/J2)</f>
        <v>1.2324336562761291</v>
      </c>
    </row>
    <row r="3" spans="1:15" x14ac:dyDescent="0.25">
      <c r="A3">
        <v>44.7</v>
      </c>
      <c r="B3">
        <v>126.45</v>
      </c>
      <c r="C3">
        <v>109.21</v>
      </c>
      <c r="D3">
        <v>21595.072</v>
      </c>
      <c r="E3">
        <v>171.143</v>
      </c>
      <c r="J3">
        <f>A3/1000</f>
        <v>4.4700000000000004E-2</v>
      </c>
      <c r="K3">
        <f>B3/1000</f>
        <v>0.12645000000000001</v>
      </c>
      <c r="L3">
        <f>C3/1000</f>
        <v>0.10920999999999999</v>
      </c>
      <c r="M3">
        <f t="shared" ref="M3:M21" si="0">D3/1000000</f>
        <v>2.1595072E-2</v>
      </c>
      <c r="N3">
        <f t="shared" ref="N3:N21" si="1">E3/1000</f>
        <v>0.17114299999999999</v>
      </c>
      <c r="O3">
        <f t="shared" ref="O3:O21" si="2">ATAN(L3/J3)</f>
        <v>1.1822957852569229</v>
      </c>
    </row>
    <row r="4" spans="1:15" x14ac:dyDescent="0.25">
      <c r="A4">
        <v>50.59</v>
      </c>
      <c r="B4">
        <v>129.94</v>
      </c>
      <c r="C4">
        <v>108.57</v>
      </c>
      <c r="D4">
        <v>22005.072</v>
      </c>
      <c r="E4">
        <v>180.536</v>
      </c>
      <c r="J4">
        <f>A4/1000</f>
        <v>5.0590000000000003E-2</v>
      </c>
      <c r="K4">
        <f>B4/1000</f>
        <v>0.12994</v>
      </c>
      <c r="L4">
        <f>C4/1000</f>
        <v>0.10857</v>
      </c>
      <c r="M4">
        <f t="shared" si="0"/>
        <v>2.2005072000000001E-2</v>
      </c>
      <c r="N4">
        <f t="shared" si="1"/>
        <v>0.180536</v>
      </c>
      <c r="O4">
        <f t="shared" si="2"/>
        <v>1.1347441462389114</v>
      </c>
    </row>
    <row r="5" spans="1:15" x14ac:dyDescent="0.25">
      <c r="A5">
        <v>56.33</v>
      </c>
      <c r="B5">
        <v>133.6</v>
      </c>
      <c r="C5">
        <v>107.81</v>
      </c>
      <c r="D5">
        <v>22425.072</v>
      </c>
      <c r="E5">
        <v>189.929</v>
      </c>
      <c r="J5">
        <f>A5/1000</f>
        <v>5.6329999999999998E-2</v>
      </c>
      <c r="K5">
        <f>B5/1000</f>
        <v>0.1336</v>
      </c>
      <c r="L5">
        <f>C5/1000</f>
        <v>0.10781</v>
      </c>
      <c r="M5">
        <f t="shared" si="0"/>
        <v>2.2425072000000001E-2</v>
      </c>
      <c r="N5">
        <f t="shared" si="1"/>
        <v>0.18992900000000001</v>
      </c>
      <c r="O5">
        <f t="shared" si="2"/>
        <v>1.0893164475036385</v>
      </c>
    </row>
    <row r="6" spans="1:15" x14ac:dyDescent="0.25">
      <c r="A6">
        <v>61.94</v>
      </c>
      <c r="B6">
        <v>137.38</v>
      </c>
      <c r="C6">
        <v>106.94</v>
      </c>
      <c r="D6">
        <v>22875.072</v>
      </c>
      <c r="E6">
        <v>199.322</v>
      </c>
      <c r="J6">
        <f>A6/1000</f>
        <v>6.1939999999999995E-2</v>
      </c>
      <c r="K6">
        <f>B6/1000</f>
        <v>0.13738</v>
      </c>
      <c r="L6">
        <f>C6/1000</f>
        <v>0.10693999999999999</v>
      </c>
      <c r="M6">
        <f t="shared" si="0"/>
        <v>2.2875072E-2</v>
      </c>
      <c r="N6">
        <f t="shared" si="1"/>
        <v>0.199322</v>
      </c>
      <c r="O6">
        <f t="shared" si="2"/>
        <v>1.0458088995375237</v>
      </c>
    </row>
    <row r="7" spans="1:15" x14ac:dyDescent="0.25">
      <c r="A7">
        <v>67.42</v>
      </c>
      <c r="B7">
        <v>141.29</v>
      </c>
      <c r="C7">
        <v>105.97</v>
      </c>
      <c r="D7">
        <v>23659.48</v>
      </c>
      <c r="E7">
        <v>208.715</v>
      </c>
      <c r="J7">
        <f>A7/1000</f>
        <v>6.7420000000000008E-2</v>
      </c>
      <c r="K7">
        <f>B7/1000</f>
        <v>0.14129</v>
      </c>
      <c r="L7">
        <f>C7/1000</f>
        <v>0.10596999999999999</v>
      </c>
      <c r="M7">
        <f t="shared" si="0"/>
        <v>2.365948E-2</v>
      </c>
      <c r="N7">
        <f t="shared" si="1"/>
        <v>0.20871500000000001</v>
      </c>
      <c r="O7">
        <f t="shared" si="2"/>
        <v>1.0041709190914263</v>
      </c>
    </row>
    <row r="8" spans="1:15" x14ac:dyDescent="0.25">
      <c r="A8">
        <v>72.81</v>
      </c>
      <c r="B8">
        <v>145.30000000000001</v>
      </c>
      <c r="C8">
        <v>104.89</v>
      </c>
      <c r="D8">
        <v>24125.08</v>
      </c>
      <c r="E8">
        <v>218.108</v>
      </c>
      <c r="J8">
        <f>A8/1000</f>
        <v>7.281E-2</v>
      </c>
      <c r="K8">
        <f>B8/1000</f>
        <v>0.14530000000000001</v>
      </c>
      <c r="L8">
        <f>C8/1000</f>
        <v>0.10489</v>
      </c>
      <c r="M8">
        <f t="shared" si="0"/>
        <v>2.412508E-2</v>
      </c>
      <c r="N8">
        <f t="shared" si="1"/>
        <v>0.218108</v>
      </c>
      <c r="O8">
        <f t="shared" si="2"/>
        <v>0.96400343463954796</v>
      </c>
    </row>
    <row r="9" spans="1:15" x14ac:dyDescent="0.25">
      <c r="A9">
        <v>78.11</v>
      </c>
      <c r="B9">
        <v>149.38999999999999</v>
      </c>
      <c r="C9">
        <v>103.72</v>
      </c>
      <c r="D9">
        <v>24611.649000000001</v>
      </c>
      <c r="E9">
        <v>227.501</v>
      </c>
      <c r="J9">
        <f>A9/1000</f>
        <v>7.8109999999999999E-2</v>
      </c>
      <c r="K9">
        <f>B9/1000</f>
        <v>0.14939</v>
      </c>
      <c r="L9">
        <f>C9/1000</f>
        <v>0.10371999999999999</v>
      </c>
      <c r="M9">
        <f t="shared" si="0"/>
        <v>2.4611649000000003E-2</v>
      </c>
      <c r="N9">
        <f t="shared" si="1"/>
        <v>0.22750100000000001</v>
      </c>
      <c r="O9">
        <f t="shared" si="2"/>
        <v>0.92532359350196358</v>
      </c>
    </row>
    <row r="10" spans="1:15" x14ac:dyDescent="0.25">
      <c r="A10">
        <v>83.33</v>
      </c>
      <c r="B10">
        <v>153.57</v>
      </c>
      <c r="C10">
        <v>102.45</v>
      </c>
      <c r="D10">
        <v>25119.204000000002</v>
      </c>
      <c r="E10">
        <v>236.89400000000001</v>
      </c>
      <c r="J10">
        <f>A10/1000</f>
        <v>8.3330000000000001E-2</v>
      </c>
      <c r="K10">
        <f>B10/1000</f>
        <v>0.15356999999999998</v>
      </c>
      <c r="L10">
        <f>C10/1000</f>
        <v>0.10245</v>
      </c>
      <c r="M10">
        <f t="shared" si="0"/>
        <v>2.5119204000000003E-2</v>
      </c>
      <c r="N10">
        <f t="shared" si="1"/>
        <v>0.23689399999999999</v>
      </c>
      <c r="O10">
        <f t="shared" si="2"/>
        <v>0.88795451751389121</v>
      </c>
    </row>
    <row r="11" spans="1:15" x14ac:dyDescent="0.25">
      <c r="A11">
        <v>88.48</v>
      </c>
      <c r="B11">
        <v>157.81</v>
      </c>
      <c r="C11">
        <v>101.08</v>
      </c>
      <c r="D11">
        <v>25647.762999999999</v>
      </c>
      <c r="E11">
        <v>246.28700000000001</v>
      </c>
      <c r="J11">
        <f>A11/1000</f>
        <v>8.8480000000000003E-2</v>
      </c>
      <c r="K11">
        <f>B11/1000</f>
        <v>0.15781000000000001</v>
      </c>
      <c r="L11">
        <f>C11/1000</f>
        <v>0.10108</v>
      </c>
      <c r="M11">
        <f t="shared" si="0"/>
        <v>2.5647763000000001E-2</v>
      </c>
      <c r="N11">
        <f t="shared" si="1"/>
        <v>0.24628700000000001</v>
      </c>
      <c r="O11">
        <f t="shared" si="2"/>
        <v>0.85177024874441243</v>
      </c>
    </row>
    <row r="12" spans="1:15" x14ac:dyDescent="0.25">
      <c r="A12">
        <v>93.56</v>
      </c>
      <c r="B12">
        <v>162.12</v>
      </c>
      <c r="C12">
        <v>99.61</v>
      </c>
      <c r="D12">
        <v>26197.343000000001</v>
      </c>
      <c r="E12">
        <v>255.68</v>
      </c>
      <c r="J12">
        <f>A12/1000</f>
        <v>9.3560000000000004E-2</v>
      </c>
      <c r="K12">
        <f>B12/1000</f>
        <v>0.16212000000000001</v>
      </c>
      <c r="L12">
        <f>C12/1000</f>
        <v>9.9610000000000004E-2</v>
      </c>
      <c r="M12">
        <f t="shared" si="0"/>
        <v>2.6197343000000001E-2</v>
      </c>
      <c r="N12">
        <f t="shared" si="1"/>
        <v>0.25568000000000002</v>
      </c>
      <c r="O12">
        <f t="shared" si="2"/>
        <v>0.81670749188941494</v>
      </c>
    </row>
    <row r="13" spans="1:15" x14ac:dyDescent="0.25">
      <c r="A13">
        <v>98.6</v>
      </c>
      <c r="B13">
        <v>166.47</v>
      </c>
      <c r="C13">
        <v>98.04</v>
      </c>
      <c r="D13">
        <v>26767.967000000001</v>
      </c>
      <c r="E13">
        <v>265.07299999999998</v>
      </c>
      <c r="J13">
        <f>A13/1000</f>
        <v>9.8599999999999993E-2</v>
      </c>
      <c r="K13">
        <f>B13/1000</f>
        <v>0.16647000000000001</v>
      </c>
      <c r="L13">
        <f>C13/1000</f>
        <v>9.8040000000000002E-2</v>
      </c>
      <c r="M13">
        <f t="shared" si="0"/>
        <v>2.6767967E-2</v>
      </c>
      <c r="N13">
        <f t="shared" si="1"/>
        <v>0.265073</v>
      </c>
      <c r="O13">
        <f t="shared" si="2"/>
        <v>0.78255032732085805</v>
      </c>
    </row>
    <row r="14" spans="1:15" x14ac:dyDescent="0.25">
      <c r="A14">
        <v>103.58</v>
      </c>
      <c r="B14">
        <v>170.88</v>
      </c>
      <c r="C14">
        <v>96.36</v>
      </c>
      <c r="D14">
        <v>27359.655999999999</v>
      </c>
      <c r="E14">
        <v>274.46600000000001</v>
      </c>
      <c r="J14">
        <f>A14/1000</f>
        <v>0.10357999999999999</v>
      </c>
      <c r="K14">
        <f>B14/1000</f>
        <v>0.17088</v>
      </c>
      <c r="L14">
        <f>C14/1000</f>
        <v>9.6360000000000001E-2</v>
      </c>
      <c r="M14">
        <f t="shared" si="0"/>
        <v>2.7359656E-2</v>
      </c>
      <c r="N14">
        <f t="shared" si="1"/>
        <v>0.27446599999999999</v>
      </c>
      <c r="O14">
        <f t="shared" si="2"/>
        <v>0.74930301396092802</v>
      </c>
    </row>
    <row r="15" spans="1:15" x14ac:dyDescent="0.25">
      <c r="A15">
        <v>108.53</v>
      </c>
      <c r="B15">
        <v>175.33</v>
      </c>
      <c r="C15">
        <v>94.58</v>
      </c>
      <c r="D15">
        <v>27972.436000000002</v>
      </c>
      <c r="E15">
        <v>283.85899999999998</v>
      </c>
      <c r="J15">
        <f>A15/1000</f>
        <v>0.10853</v>
      </c>
      <c r="K15">
        <f>B15/1000</f>
        <v>0.17533000000000001</v>
      </c>
      <c r="L15">
        <f>C15/1000</f>
        <v>9.4579999999999997E-2</v>
      </c>
      <c r="M15">
        <f t="shared" si="0"/>
        <v>2.7972436E-2</v>
      </c>
      <c r="N15">
        <f t="shared" si="1"/>
        <v>0.28385899999999997</v>
      </c>
      <c r="O15">
        <f t="shared" si="2"/>
        <v>0.71682385972650953</v>
      </c>
    </row>
    <row r="16" spans="1:15" x14ac:dyDescent="0.25">
      <c r="A16">
        <v>113.43</v>
      </c>
      <c r="B16">
        <v>179.82</v>
      </c>
      <c r="C16">
        <v>92.69</v>
      </c>
      <c r="D16">
        <v>28606.334999999999</v>
      </c>
      <c r="E16">
        <v>293.25200000000001</v>
      </c>
      <c r="J16">
        <f>A16/1000</f>
        <v>0.11343</v>
      </c>
      <c r="K16">
        <f>B16/1000</f>
        <v>0.17981999999999998</v>
      </c>
      <c r="L16">
        <f>C16/1000</f>
        <v>9.2689999999999995E-2</v>
      </c>
      <c r="M16">
        <f t="shared" si="0"/>
        <v>2.8606335E-2</v>
      </c>
      <c r="N16">
        <f t="shared" si="1"/>
        <v>0.29325200000000001</v>
      </c>
      <c r="O16">
        <f t="shared" si="2"/>
        <v>0.68511469979802997</v>
      </c>
    </row>
    <row r="17" spans="1:15" x14ac:dyDescent="0.25">
      <c r="A17">
        <v>118.3</v>
      </c>
      <c r="B17">
        <v>184.35</v>
      </c>
      <c r="C17">
        <v>90.68</v>
      </c>
      <c r="D17">
        <v>29261.382000000001</v>
      </c>
      <c r="E17">
        <v>302.64499999999998</v>
      </c>
      <c r="J17">
        <f>A17/1000</f>
        <v>0.1183</v>
      </c>
      <c r="K17">
        <f>B17/1000</f>
        <v>0.18434999999999999</v>
      </c>
      <c r="L17">
        <f>C17/1000</f>
        <v>9.0680000000000011E-2</v>
      </c>
      <c r="M17">
        <f t="shared" si="0"/>
        <v>2.9261382000000002E-2</v>
      </c>
      <c r="N17">
        <f t="shared" si="1"/>
        <v>0.302645</v>
      </c>
      <c r="O17">
        <f t="shared" si="2"/>
        <v>0.65399398760088367</v>
      </c>
    </row>
    <row r="18" spans="1:15" x14ac:dyDescent="0.25">
      <c r="A18">
        <v>123.13</v>
      </c>
      <c r="B18">
        <v>188.91</v>
      </c>
      <c r="C18">
        <v>88.54</v>
      </c>
      <c r="D18">
        <v>29937.613000000001</v>
      </c>
      <c r="E18">
        <v>312.03800000000001</v>
      </c>
      <c r="J18">
        <f>A18/1000</f>
        <v>0.12312999999999999</v>
      </c>
      <c r="K18">
        <f>B18/1000</f>
        <v>0.18890999999999999</v>
      </c>
      <c r="L18">
        <f>C18/1000</f>
        <v>8.8540000000000008E-2</v>
      </c>
      <c r="M18">
        <f t="shared" si="0"/>
        <v>2.9937613000000002E-2</v>
      </c>
      <c r="N18">
        <f t="shared" si="1"/>
        <v>0.31203800000000004</v>
      </c>
      <c r="O18">
        <f t="shared" si="2"/>
        <v>0.62341517243595956</v>
      </c>
    </row>
    <row r="19" spans="1:15" x14ac:dyDescent="0.25">
      <c r="A19">
        <v>127.94</v>
      </c>
      <c r="B19">
        <v>193.49</v>
      </c>
      <c r="C19">
        <v>86.27</v>
      </c>
      <c r="D19">
        <v>30635.064999999999</v>
      </c>
      <c r="E19">
        <v>321.43099999999998</v>
      </c>
      <c r="J19">
        <f>A19/1000</f>
        <v>0.12794</v>
      </c>
      <c r="K19">
        <f>B19/1000</f>
        <v>0.19349</v>
      </c>
      <c r="L19">
        <f>C19/1000</f>
        <v>8.6269999999999999E-2</v>
      </c>
      <c r="M19">
        <f t="shared" si="0"/>
        <v>3.0635065E-2</v>
      </c>
      <c r="N19">
        <f t="shared" si="1"/>
        <v>0.32143099999999997</v>
      </c>
      <c r="O19">
        <f t="shared" si="2"/>
        <v>0.59326892915130536</v>
      </c>
    </row>
    <row r="20" spans="1:15" x14ac:dyDescent="0.25">
      <c r="A20">
        <v>132.72</v>
      </c>
      <c r="B20">
        <v>198.1</v>
      </c>
      <c r="C20">
        <v>83.85</v>
      </c>
      <c r="D20">
        <v>31353.785</v>
      </c>
      <c r="E20">
        <v>330.82400000000001</v>
      </c>
      <c r="J20">
        <f>A20/1000</f>
        <v>0.13272</v>
      </c>
      <c r="K20">
        <f>B20/1000</f>
        <v>0.1981</v>
      </c>
      <c r="L20">
        <f>C20/1000</f>
        <v>8.3849999999999994E-2</v>
      </c>
      <c r="M20">
        <f t="shared" si="0"/>
        <v>3.1353785000000002E-2</v>
      </c>
      <c r="N20">
        <f t="shared" si="1"/>
        <v>0.33082400000000001</v>
      </c>
      <c r="O20">
        <f t="shared" si="2"/>
        <v>0.56346082423119026</v>
      </c>
    </row>
    <row r="21" spans="1:15" x14ac:dyDescent="0.25">
      <c r="A21">
        <v>137.47999999999999</v>
      </c>
      <c r="B21">
        <v>202.74</v>
      </c>
      <c r="C21">
        <v>81.28</v>
      </c>
      <c r="D21">
        <v>32093.821</v>
      </c>
      <c r="E21">
        <v>340.21699999999998</v>
      </c>
      <c r="J21">
        <f>A21/1000</f>
        <v>0.13747999999999999</v>
      </c>
      <c r="K21">
        <f>B21/1000</f>
        <v>0.20274</v>
      </c>
      <c r="L21">
        <f>C21/1000</f>
        <v>8.1280000000000005E-2</v>
      </c>
      <c r="M21">
        <f t="shared" si="0"/>
        <v>3.2093821000000002E-2</v>
      </c>
      <c r="N21">
        <f t="shared" si="1"/>
        <v>0.34021699999999999</v>
      </c>
      <c r="O21">
        <f t="shared" si="2"/>
        <v>0.5339336155303761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6" sqref="D6"/>
    </sheetView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6" sqref="D6"/>
    </sheetView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林廷亮</dc:creator>
  <cp:lastModifiedBy>normal KL</cp:lastModifiedBy>
  <dcterms:created xsi:type="dcterms:W3CDTF">2023-05-12T11:15:00Z</dcterms:created>
  <dcterms:modified xsi:type="dcterms:W3CDTF">2026-02-08T08:56:16Z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375933B3E0914639A3DC7A329C839580_13</vt:lpwstr>
  </property>
</Properties>
</file>